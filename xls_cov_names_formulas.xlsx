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  <sheet name="calc" sheetId="2" state="visible" r:id="rId2"/>
  </sheets>
  <definedNames>
    <definedName name="rng">'data'!$A$1:$B$5</definedName>
    <definedName localSheetId="1" name="local_rng">'calc'!$A$1:$B$5</definedName>
    <definedName name="hidden_rng">'calc'!$A$1:$A$3</definedName>
    <definedName name="const_num">3.14159</definedName>
    <definedName name="const_str">"text"</definedName>
    <definedName name="const_arr">{1,2,3;4,5,6}</definedName>
    <definedName name="fml_name">SUM(data!$B$2:$B$21)*2</definedName>
    <definedName name="ofs">OFFSET(data!$A$1,0,0,COUNTA(data!$A:$A),1)</definedName>
    <definedName name="hid" hidden="1">data!$C$2</definedName>
    <definedName name="cmt" comment="a comment" description="desc" function="0">data!$D$2</definedName>
    <definedName name="_xlnm.Print_Area" localSheetId="0">data!$A$1:$E$10</definedName>
    <definedName name="_xlnm.Print_Titles" localSheetId="0">data!$A:$A,data!$1:$1</definedName>
    <definedName name="_xlnm._FilterDatabase" localSheetId="0" hidden="1">data!$A$1:$L$21</definedName>
    <definedName name="multi">(data!$A$1,data!$B$1:$B$3)</definedName>
    <definedName name="three_d">data:calc!$A$1</definedName>
  </definedNames>
  <calcPr calcId="124519" calcMode="manual" fullCalcOnLoad="1" refMode="R1C1" iterate="1" iterateCount="50" iterateDelta="0.01" fullPrecision="0" calcCompleted="0" calcOnSave="0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"/>
  <sheetViews>
    <sheetView showGridLines="1" showRowColHeaders="1" tabSelected="1" workbookViewId="0" zoomScale="100"/>
  </sheetViews>
  <sheetFormatPr baseColWidth="8" defaultRowHeight="16" x14ac:dyDescent="0.2"/>
  <sheetData>
    <row r="1">
      <c r="B1" t="inlineStr">
        <is>
          <t>mpg</t>
        </is>
      </c>
      <c r="C1" t="inlineStr">
        <is>
          <t>cyl</t>
        </is>
      </c>
      <c r="D1" t="inlineStr">
        <is>
          <t>disp</t>
        </is>
      </c>
      <c r="E1" t="inlineStr">
        <is>
          <t>hp</t>
        </is>
      </c>
      <c r="F1" t="inlineStr">
        <is>
          <t>drat</t>
        </is>
      </c>
      <c r="G1" t="inlineStr">
        <is>
          <t>wt</t>
        </is>
      </c>
      <c r="H1" t="inlineStr">
        <is>
          <t>qsec</t>
        </is>
      </c>
      <c r="I1" t="inlineStr">
        <is>
          <t>vs</t>
        </is>
      </c>
      <c r="J1" t="inlineStr">
        <is>
          <t>am</t>
        </is>
      </c>
      <c r="K1" t="inlineStr">
        <is>
          <t>gear</t>
        </is>
      </c>
      <c r="L1" t="inlineStr">
        <is>
          <t>carb</t>
        </is>
      </c>
    </row>
    <row r="2">
      <c r="A2" t="inlineStr">
        <is>
          <t>Mazda RX4</t>
        </is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>
      <c r="A3" t="inlineStr">
        <is>
          <t>Mazda RX4 Wag</t>
        </is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>
      <c r="A4" t="inlineStr">
        <is>
          <t>Datsun 710</t>
        </is>
      </c>
      <c r="B4">
        <v>22.8</v>
      </c>
      <c r="C4">
        <v>4</v>
      </c>
      <c r="D4">
        <v>108</v>
      </c>
      <c r="E4">
        <v>93</v>
      </c>
      <c r="F4">
        <v>3.85</v>
      </c>
      <c r="G4">
        <v>2.32</v>
      </c>
      <c r="H4">
        <v>18.61</v>
      </c>
      <c r="I4">
        <v>1</v>
      </c>
      <c r="J4">
        <v>1</v>
      </c>
      <c r="K4">
        <v>4</v>
      </c>
      <c r="L4">
        <v>1</v>
      </c>
    </row>
    <row r="5">
      <c r="A5" t="inlineStr">
        <is>
          <t>Hornet 4 Drive</t>
        </is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3.215</v>
      </c>
      <c r="H5">
        <v>19.44</v>
      </c>
      <c r="I5">
        <v>1</v>
      </c>
      <c r="J5">
        <v>0</v>
      </c>
      <c r="K5">
        <v>3</v>
      </c>
      <c r="L5">
        <v>1</v>
      </c>
    </row>
    <row r="6">
      <c r="A6" t="inlineStr">
        <is>
          <t>Hornet Sportabout</t>
        </is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>
      <c r="A7" t="inlineStr">
        <is>
          <t>Valiant</t>
        </is>
      </c>
      <c r="B7">
        <v>18.1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>
      <c r="A8" t="inlineStr">
        <is>
          <t>Duster 360</t>
        </is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>
      <c r="A9" t="inlineStr">
        <is>
          <t>Merc 240D</t>
        </is>
      </c>
      <c r="B9">
        <v>24.4</v>
      </c>
      <c r="C9">
        <v>4</v>
      </c>
      <c r="D9">
        <v>146.7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>
      <c r="A10" t="inlineStr">
        <is>
          <t>Merc 230</t>
        </is>
      </c>
      <c r="B10">
        <v>22.8</v>
      </c>
      <c r="C10">
        <v>4</v>
      </c>
      <c r="D10">
        <v>140.8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>
      <c r="A11" t="inlineStr">
        <is>
          <t>Merc 280</t>
        </is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>
      <c r="A12" t="inlineStr">
        <is>
          <t>Merc 280C</t>
        </is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18.9</v>
      </c>
      <c r="I12">
        <v>1</v>
      </c>
      <c r="J12">
        <v>0</v>
      </c>
      <c r="K12">
        <v>4</v>
      </c>
      <c r="L12">
        <v>4</v>
      </c>
    </row>
    <row r="13">
      <c r="A13" t="inlineStr">
        <is>
          <t>Merc 450SE</t>
        </is>
      </c>
      <c r="B13">
        <v>16.4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17.4</v>
      </c>
      <c r="I13">
        <v>0</v>
      </c>
      <c r="J13">
        <v>0</v>
      </c>
      <c r="K13">
        <v>3</v>
      </c>
      <c r="L13">
        <v>3</v>
      </c>
    </row>
    <row r="14">
      <c r="A14" t="inlineStr">
        <is>
          <t>Merc 450SL</t>
        </is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</v>
      </c>
      <c r="I14">
        <v>0</v>
      </c>
      <c r="J14">
        <v>0</v>
      </c>
      <c r="K14">
        <v>3</v>
      </c>
      <c r="L14">
        <v>3</v>
      </c>
    </row>
    <row r="15">
      <c r="A15" t="inlineStr">
        <is>
          <t>Merc 450SLC</t>
        </is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>
      <c r="A16" t="inlineStr">
        <is>
          <t>Cadillac Fleetwood</t>
        </is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>
      <c r="A17" t="inlineStr">
        <is>
          <t>Lincoln Continental</t>
        </is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</v>
      </c>
      <c r="H17">
        <v>17.82</v>
      </c>
      <c r="I17">
        <v>0</v>
      </c>
      <c r="J17">
        <v>0</v>
      </c>
      <c r="K17">
        <v>3</v>
      </c>
      <c r="L17">
        <v>4</v>
      </c>
    </row>
    <row r="18">
      <c r="A18" t="inlineStr">
        <is>
          <t>Chrysler Imperial</t>
        </is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5.345</v>
      </c>
      <c r="H18">
        <v>17.42</v>
      </c>
      <c r="I18">
        <v>0</v>
      </c>
      <c r="J18">
        <v>0</v>
      </c>
      <c r="K18">
        <v>3</v>
      </c>
      <c r="L18">
        <v>4</v>
      </c>
    </row>
    <row r="19">
      <c r="A19" t="inlineStr">
        <is>
          <t>Fiat 128</t>
        </is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</v>
      </c>
      <c r="H19">
        <v>19.47</v>
      </c>
      <c r="I19">
        <v>1</v>
      </c>
      <c r="J19">
        <v>1</v>
      </c>
      <c r="K19">
        <v>4</v>
      </c>
      <c r="L19">
        <v>1</v>
      </c>
    </row>
    <row r="20">
      <c r="A20" t="inlineStr">
        <is>
          <t>Honda Civic</t>
        </is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>
      <c r="A21" t="inlineStr">
        <is>
          <t>Toyota Corolla</t>
        </is>
      </c>
      <c r="B21">
        <v>33.9</v>
      </c>
      <c r="C21">
        <v>4</v>
      </c>
      <c r="D21">
        <v>71.1</v>
      </c>
      <c r="E21">
        <v>65</v>
      </c>
      <c r="F21">
        <v>4.22</v>
      </c>
      <c r="G21">
        <v>1.835</v>
      </c>
      <c r="H21">
        <v>19.9</v>
      </c>
      <c r="I21">
        <v>1</v>
      </c>
      <c r="J21">
        <v>1</v>
      </c>
      <c r="K21">
        <v>4</v>
      </c>
      <c r="L2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</t>
        </is>
      </c>
      <c r="C1" t="str">
        <f>SUM(data!B2:B21)</f>
      </c>
      <c r="E1">
        <f t="array" ref="E1:E3">A1:A3*2</f>
      </c>
      <c r="F1">
        <f t="array" ref="F1">SUM(A1:A10*A1:A10)</f>
      </c>
    </row>
    <row r="2">
      <c r="A2">
        <v>1</v>
      </c>
      <c r="C2" t="str">
        <f>AVERAGE(rng)</f>
      </c>
    </row>
    <row r="3">
      <c r="A3">
        <v>2</v>
      </c>
      <c r="C3" t="str">
        <f>IF(A1&gt;5,"hi","lo")</f>
      </c>
    </row>
    <row r="4">
      <c r="A4">
        <v>3</v>
      </c>
      <c r="C4" t="str">
        <f>VLOOKUP("Mazda RX4",data!A1:L21,2,FALSE)</f>
      </c>
    </row>
    <row r="5">
      <c r="A5">
        <v>4</v>
      </c>
      <c r="C5" t="str">
        <f>INDEX(data!B2:D21,MATCH("Valiant",data!A2:A21,0),2)</f>
      </c>
    </row>
    <row r="6">
      <c r="A6">
        <v>5</v>
      </c>
      <c r="C6" t="str">
        <f>SUMPRODUCT((data!B2:B21&gt;6)*(data!C2:C21))</f>
      </c>
    </row>
    <row r="7">
      <c r="A7">
        <v>6</v>
      </c>
      <c r="C7" t="str">
        <f>TEXT(A1,"0.00")&amp;"x"</f>
      </c>
    </row>
    <row r="8">
      <c r="A8">
        <v>7</v>
      </c>
      <c r="C8" t="str">
        <f>CONCATENATE("a","b")</f>
      </c>
    </row>
    <row r="9">
      <c r="A9">
        <v>8</v>
      </c>
      <c r="C9" t="str">
        <f>LEFT("abcdef",3)&amp;MID("abcdef",2,2)&amp;RIGHT("abcdef",1)</f>
      </c>
    </row>
    <row r="10">
      <c r="A10">
        <v>9</v>
      </c>
      <c r="C10" t="str">
        <f>ROUND(PI(),3)</f>
      </c>
    </row>
    <row r="11">
      <c r="A11">
        <v>10</v>
      </c>
      <c r="C11" t="str">
        <f>DATE(2020,1,31)+EDATE(DATE(2020,1,31),1)</f>
      </c>
    </row>
    <row r="12">
      <c r="A12">
        <v>11</v>
      </c>
      <c r="C12" t="str">
        <f>NETWORKDAYS(DATE(2020,1,1),DATE(2020,2,1))</f>
      </c>
    </row>
    <row r="13">
      <c r="A13">
        <v>12</v>
      </c>
      <c r="C13" t="str">
        <f>IFERROR(1/0,"err")</f>
      </c>
    </row>
    <row r="14">
      <c r="A14">
        <v>13</v>
      </c>
      <c r="C14" t="str">
        <f>ISNUMBER(A1)</f>
      </c>
    </row>
    <row r="15">
      <c r="A15">
        <v>14</v>
      </c>
      <c r="C15" t="str">
        <f>AND(TRUE,FALSE)</f>
      </c>
    </row>
    <row r="16">
      <c r="A16">
        <v>15</v>
      </c>
      <c r="C16" t="str">
        <f>OR(TRUE,FALSE)</f>
      </c>
    </row>
    <row r="17">
      <c r="A17">
        <v>16</v>
      </c>
      <c r="C17" t="str">
        <f>NOT(TRUE)</f>
      </c>
    </row>
    <row r="18">
      <c r="A18">
        <v>17</v>
      </c>
      <c r="C18" t="str">
        <f>CHOOSE(2,"a","b","c")</f>
      </c>
    </row>
    <row r="19">
      <c r="A19">
        <v>18</v>
      </c>
      <c r="C19" t="str">
        <f>COUNTIF(A1:A10,"&gt;5")</f>
      </c>
    </row>
    <row r="20">
      <c r="A20">
        <v>19</v>
      </c>
      <c r="C20" t="str">
        <f>SUMIF(A1:A10,"&gt;5",A1:A10)</f>
      </c>
    </row>
    <row r="21">
      <c r="A21">
        <v>20</v>
      </c>
      <c r="C21" t="str">
        <f>SUMIFS(A1:A10,A1:A10,"&gt;2",A1:A10,"&lt;8")</f>
      </c>
    </row>
    <row r="22">
      <c r="A22">
        <v>21</v>
      </c>
      <c r="C22" t="str">
        <f>COUNTIFS(A1:A10,"&gt;2",A1:A10,"&lt;8")</f>
      </c>
    </row>
    <row r="23">
      <c r="A23">
        <v>22</v>
      </c>
      <c r="C23" t="str">
        <f>MAX(A1:A10)-MIN(A1:A10)</f>
      </c>
    </row>
    <row r="24">
      <c r="A24">
        <v>23</v>
      </c>
      <c r="C24" t="str">
        <f>LARGE(A1:A10,2)</f>
      </c>
    </row>
    <row r="25">
      <c r="A25">
        <v>24</v>
      </c>
      <c r="C25" t="str">
        <f>RANK(A2,A1:A10)</f>
      </c>
    </row>
    <row r="26">
      <c r="A26">
        <v>25</v>
      </c>
      <c r="C26" t="str">
        <f>STDEV(A1:A10)</f>
      </c>
    </row>
    <row r="27">
      <c r="A27">
        <v>26</v>
      </c>
      <c r="C27" t="str">
        <f>MEDIAN(A1:A10)</f>
      </c>
    </row>
    <row r="28">
      <c r="A28">
        <v>27</v>
      </c>
      <c r="C28" t="str">
        <f>MOD(A1,3)</f>
      </c>
    </row>
    <row r="29">
      <c r="A29">
        <v>28</v>
      </c>
      <c r="C29" t="str">
        <f>POWER(2,10)</f>
      </c>
    </row>
    <row r="30">
      <c r="A30">
        <v>29</v>
      </c>
      <c r="C30" t="str">
        <f>SQRT(16)</f>
      </c>
    </row>
    <row r="31">
      <c r="A31">
        <v>30</v>
      </c>
      <c r="C31" t="str">
        <f>ABS(-3)</f>
      </c>
    </row>
    <row r="32">
      <c r="A32">
        <v>31</v>
      </c>
      <c r="C32" t="str">
        <f>INT(2.7)</f>
      </c>
    </row>
    <row r="33">
      <c r="A33">
        <v>32</v>
      </c>
      <c r="C33" t="str">
        <f>LN(EXP(1))</f>
      </c>
    </row>
    <row r="34">
      <c r="A34">
        <v>33</v>
      </c>
      <c r="C34" t="str">
        <f>FIND("b","abc")</f>
      </c>
    </row>
    <row r="35">
      <c r="A35">
        <v>34</v>
      </c>
      <c r="C35" t="str">
        <f>SUBSTITUTE("aaa","a","b")</f>
      </c>
    </row>
    <row r="36">
      <c r="A36">
        <v>35</v>
      </c>
      <c r="C36" t="str">
        <f>LEN("abc")</f>
      </c>
    </row>
    <row r="37">
      <c r="A37">
        <v>36</v>
      </c>
      <c r="C37" t="str">
        <f>TRIM(" a ")</f>
      </c>
    </row>
    <row r="38">
      <c r="A38">
        <v>37</v>
      </c>
      <c r="C38" t="str">
        <f>UPPER("a")&amp;LOWER("B")&amp;PROPER("cd")</f>
      </c>
    </row>
    <row r="39">
      <c r="A39">
        <v>38</v>
      </c>
      <c r="C39" t="str">
        <f>ROW()+COLUMN()</f>
      </c>
    </row>
    <row r="40">
      <c r="A40">
        <v>39</v>
      </c>
      <c r="C40" t="str">
        <f>ROWS(A1:A10)+COLUMNS(A1:C1)</f>
      </c>
    </row>
    <row r="41">
      <c r="A41">
        <v>40</v>
      </c>
      <c r="C41" t="str">
        <f>OFFSET(A1,1,1)</f>
      </c>
    </row>
    <row r="42">
      <c r="A42">
        <v>41</v>
      </c>
      <c r="C42" t="str">
        <f>INDIRECT("A1")</f>
      </c>
    </row>
    <row r="43">
      <c r="A43">
        <v>42</v>
      </c>
      <c r="C43" t="str">
        <f>ADDRESS(1,1)</f>
      </c>
    </row>
    <row r="44">
      <c r="A44">
        <v>43</v>
      </c>
      <c r="C44" t="str">
        <f>HYPERLINK("http://x.org","x")</f>
      </c>
    </row>
    <row r="45">
      <c r="A45">
        <v>44</v>
      </c>
      <c r="C45" t="str">
        <f>TODAY()-TODAY()</f>
      </c>
    </row>
    <row r="46">
      <c r="A46">
        <v>45</v>
      </c>
      <c r="C46" t="str">
        <f>NOW()-NOW()</f>
      </c>
    </row>
    <row r="47">
      <c r="A47">
        <v>46</v>
      </c>
      <c r="C47" t="str">
        <f>YEAR(DATE(2020,1,1))+MONTH(DATE(2020,2,1))+DAY(DATE(2020,3,1))</f>
      </c>
    </row>
    <row r="48">
      <c r="A48">
        <v>47</v>
      </c>
      <c r="C48" t="str">
        <f>WEEKDAY(DATE(2020,1,1))</f>
      </c>
    </row>
    <row r="49">
      <c r="A49">
        <v>48</v>
      </c>
      <c r="C49" t="str">
        <f>-A1</f>
      </c>
    </row>
    <row r="50">
      <c r="A50">
        <v>49</v>
      </c>
      <c r="C50" t="str">
        <f>A1%</f>
      </c>
    </row>
    <row r="51">
      <c r="A51">
        <v>50</v>
      </c>
      <c r="C51" t="str">
        <f>A1^2</f>
      </c>
    </row>
    <row r="52">
      <c r="A52">
        <v>51</v>
      </c>
      <c r="C52" t="str">
        <f>A1&amp;A2</f>
      </c>
    </row>
    <row r="53">
      <c r="A53">
        <v>52</v>
      </c>
      <c r="C53" t="str">
        <f>A1=A2</f>
      </c>
    </row>
    <row r="54">
      <c r="A54">
        <v>53</v>
      </c>
      <c r="C54" t="str">
        <f>A1&lt;&gt;A2</f>
      </c>
    </row>
    <row r="55">
      <c r="A55">
        <v>54</v>
      </c>
      <c r="C55" t="str">
        <f>A1&gt;=A2</f>
      </c>
    </row>
    <row r="56">
      <c r="A56">
        <v>55</v>
      </c>
      <c r="C56" t="str">
        <f>A1&lt;=A2</f>
      </c>
    </row>
    <row r="57">
      <c r="A57">
        <v>56</v>
      </c>
      <c r="C57" t="str">
        <f>(A1+A2)*(A3-A4)/2</f>
      </c>
    </row>
    <row r="58">
      <c r="A58">
        <v>57</v>
      </c>
      <c r="C58" t="str">
        <f>SUM(A1:A3 A2:A4)</f>
      </c>
    </row>
    <row r="59">
      <c r="A59">
        <v>58</v>
      </c>
      <c r="C59" t="str">
        <f>SUM((A1:A2,A3:A4))</f>
      </c>
    </row>
    <row r="60">
      <c r="A60">
        <v>59</v>
      </c>
      <c r="C60" t="str">
        <f>calc!A1+data!B2</f>
      </c>
    </row>
    <row r="61">
      <c r="A61">
        <v>60</v>
      </c>
      <c r="C61" t="str">
        <f>SUM(data:calc!A1)</f>
      </c>
    </row>
    <row r="62">
      <c r="A62">
        <v>61</v>
      </c>
      <c r="C62" t="str">
        <f>const_num*2</f>
      </c>
    </row>
    <row r="63">
      <c r="A63">
        <v>62</v>
      </c>
      <c r="C63" t="str">
        <f>const_str&amp;"x"</f>
      </c>
    </row>
    <row r="64">
      <c r="A64">
        <v>63</v>
      </c>
      <c r="C64" t="str">
        <f>SUM(const_arr)</f>
      </c>
    </row>
    <row r="65">
      <c r="A65">
        <v>64</v>
      </c>
      <c r="C65" t="str">
        <f>fml_name</f>
      </c>
    </row>
    <row r="66">
      <c r="A66">
        <v>65</v>
      </c>
      <c r="C66" t="str">
        <f>SUM(ofs)</f>
      </c>
    </row>
    <row r="67">
      <c r="A67">
        <v>66</v>
      </c>
      <c r="C67" t="str">
        <f>local_rng</f>
      </c>
    </row>
    <row r="68">
      <c r="A68">
        <v>67</v>
      </c>
      <c r="C68" t="str">
        <f>SUM(multi)</f>
      </c>
    </row>
    <row r="69">
      <c r="A69">
        <v>68</v>
      </c>
      <c r="C69" t="str">
        <f>SUM({1,2,3})</f>
      </c>
    </row>
    <row r="70">
      <c r="A70">
        <v>69</v>
      </c>
      <c r="C70" t="str">
        <f>SUM({1,2,3,4})</f>
      </c>
    </row>
    <row r="71">
      <c r="A71">
        <v>70</v>
      </c>
      <c r="C71" t="str">
        <f>SUM({"a","b"})</f>
      </c>
    </row>
    <row r="72">
      <c r="A72">
        <v>71</v>
      </c>
      <c r="C72" t="str">
        <f>SUM(#REF!)</f>
      </c>
    </row>
    <row r="73">
      <c r="A73">
        <v>72</v>
      </c>
      <c r="C73" t="str">
        <f>ERROR.TYPE(#N/A)</f>
      </c>
    </row>
    <row r="74">
      <c r="A74">
        <v>73</v>
      </c>
      <c r="C74" t="str">
        <f>IF(TRUE,#DIV/0!,#VALUE!)</f>
      </c>
    </row>
    <row r="75">
      <c r="A75">
        <v>74</v>
      </c>
      <c r="C75" t="str">
        <f>CELL("address",A1)</f>
      </c>
    </row>
    <row r="76">
      <c r="A76">
        <v>75</v>
      </c>
      <c r="C76" t="str">
        <f>INFO("osversion")</f>
      </c>
    </row>
    <row r="77">
      <c r="A77">
        <v>76</v>
      </c>
      <c r="C77" t="str">
        <f>FORMULATEXT(A1)</f>
      </c>
    </row>
    <row r="78">
      <c r="A78">
        <v>77</v>
      </c>
      <c r="C78" t="str">
        <f>ISFORMULA(A1)</f>
      </c>
    </row>
    <row r="79">
      <c r="A79">
        <v>78</v>
      </c>
      <c r="C79" t="str">
        <f>SUBTOTAL(9,A1:A10)</f>
      </c>
    </row>
    <row r="80">
      <c r="A80">
        <v>79</v>
      </c>
      <c r="C80" t="str">
        <f>AGGREGATE(9,6,A1:A10)</f>
      </c>
    </row>
    <row r="81">
      <c r="A81">
        <v>80</v>
      </c>
      <c r="C81" t="str">
        <f>REPT("ab",3)</f>
      </c>
    </row>
    <row r="82">
      <c r="A82">
        <v>81</v>
      </c>
      <c r="C82" t="str">
        <f>CODE("a")&amp;CHAR(65)</f>
      </c>
    </row>
    <row r="83">
      <c r="A83">
        <v>82</v>
      </c>
      <c r="C83" t="str">
        <f>VALUE("3")</f>
      </c>
    </row>
    <row r="84">
      <c r="A84">
        <v>83</v>
      </c>
      <c r="C84" t="str">
        <f>T("a")&amp;N(1)</f>
      </c>
    </row>
    <row r="85">
      <c r="A85">
        <v>84</v>
      </c>
      <c r="C85" t="str">
        <f>TYPE(A1)</f>
      </c>
    </row>
    <row r="86">
      <c r="A86">
        <v>85</v>
      </c>
      <c r="C86" t="str">
        <f>NA()</f>
      </c>
    </row>
    <row r="87">
      <c r="A87">
        <v>86</v>
      </c>
      <c r="C87" t="str">
        <f>FIXED(1234.5,1)</f>
      </c>
    </row>
    <row r="88">
      <c r="A88">
        <v>87</v>
      </c>
      <c r="C88" t="str">
        <f>DOLLAR(12.3)</f>
      </c>
    </row>
    <row r="89">
      <c r="A89">
        <v>88</v>
      </c>
      <c r="C89" t="str">
        <f>PMT(0.05/12,60,10000)</f>
      </c>
    </row>
    <row r="90">
      <c r="A90">
        <v>89</v>
      </c>
      <c r="C90" t="str">
        <f>NPV(0.1,A1:A5)</f>
      </c>
    </row>
    <row r="91">
      <c r="A91">
        <v>90</v>
      </c>
      <c r="C91" t="str">
        <f>IRR(A1:A5)</f>
      </c>
    </row>
    <row r="92">
      <c r="A92">
        <v>91</v>
      </c>
      <c r="C92" t="str">
        <f>TREND(A1:A5)</f>
      </c>
    </row>
    <row r="93">
      <c r="A93">
        <v>92</v>
      </c>
      <c r="C93" t="str">
        <f>LINEST(A1:A5,A1:A5)</f>
      </c>
    </row>
    <row r="94">
      <c r="A94">
        <v>93</v>
      </c>
      <c r="C94" t="str">
        <f>TRANSPOSE(A1:A3)</f>
      </c>
    </row>
    <row r="95">
      <c r="A95">
        <v>94</v>
      </c>
      <c r="C95" t="str">
        <f>MMULT(A1:B2,A1:B2)</f>
      </c>
    </row>
    <row r="96">
      <c r="A96">
        <v>95</v>
      </c>
      <c r="C96" t="str">
        <f>RAND()*0</f>
      </c>
    </row>
    <row r="97">
      <c r="A97">
        <v>96</v>
      </c>
      <c r="C97" t="str">
        <f>RANDBETWEEN(1,1)</f>
      </c>
    </row>
    <row r="98">
      <c r="A98">
        <v>97</v>
      </c>
      <c r="C98" t="str">
        <f>COUNTBLANK(A1:A10)</f>
      </c>
    </row>
    <row r="99">
      <c r="A99">
        <v>98</v>
      </c>
      <c r="C99" t="str">
        <f>COUNTA(A1:A10)</f>
      </c>
    </row>
    <row r="100">
      <c r="A100">
        <v>99</v>
      </c>
      <c r="C100" t="str">
        <f>SMALL(A1:A10,1)</f>
      </c>
    </row>
    <row r="101">
      <c r="A101">
        <v>100</v>
      </c>
      <c r="C101" t="str">
        <f>MODE(A1:A10)</f>
      </c>
    </row>
    <row r="102">
      <c r="A102">
        <v>101</v>
      </c>
      <c r="C102" t="str">
        <f>FREQUENCY(A1:A10,A1:A3)</f>
      </c>
    </row>
    <row r="103">
      <c r="A103">
        <v>102</v>
      </c>
      <c r="C103" t="str">
        <f>LOOKUP(2,A1:A5)</f>
      </c>
    </row>
    <row r="104">
      <c r="A104">
        <v>103</v>
      </c>
      <c r="C104" t="str">
        <f>HLOOKUP(1,A1:C2,2)</f>
      </c>
    </row>
    <row r="105">
      <c r="A105">
        <v>104</v>
      </c>
      <c r="C105" t="str">
        <f>MATCH(1,A1:A5,0)</f>
      </c>
    </row>
    <row r="106">
      <c r="A106">
        <v>105</v>
      </c>
      <c r="C106" t="str">
        <f>AREAS(A1:B2)</f>
      </c>
    </row>
    <row r="107">
      <c r="A107">
        <v>106</v>
      </c>
      <c r="C107" t="str">
        <f>ISBLANK(A1)</f>
      </c>
    </row>
    <row r="108">
      <c r="A108">
        <v>107</v>
      </c>
      <c r="C108" t="str">
        <f>ISERROR(A1)</f>
      </c>
    </row>
    <row r="109">
      <c r="A109">
        <v>108</v>
      </c>
      <c r="C109" t="str">
        <f>ISTEXT(A1)</f>
      </c>
    </row>
    <row r="110">
      <c r="A110">
        <v>109</v>
      </c>
      <c r="C110" t="str">
        <f>ISLOGICAL(A1)</f>
      </c>
    </row>
    <row r="111">
      <c r="A111">
        <v>110</v>
      </c>
      <c r="C111" t="str">
        <f>ISREF(A1)</f>
      </c>
    </row>
    <row r="112">
      <c r="A112">
        <v>111</v>
      </c>
      <c r="C112" t="str">
        <f>ROMAN(12)</f>
      </c>
    </row>
    <row r="113">
      <c r="A113">
        <v>112</v>
      </c>
      <c r="C113" t="str">
        <f>BIN2DEC("101")</f>
      </c>
    </row>
    <row r="114">
      <c r="A114">
        <v>113</v>
      </c>
      <c r="C114" t="str">
        <f>DEC2HEX(255)</f>
      </c>
    </row>
    <row r="115">
      <c r="A115">
        <v>114</v>
      </c>
      <c r="C115" t="str">
        <f>EOMONTH(DATE(2020,1,1),1)</f>
      </c>
    </row>
    <row r="116">
      <c r="A116">
        <v>115</v>
      </c>
      <c r="C116" t="str">
        <f>WORKDAY(DATE(2020,1,1),5)</f>
      </c>
    </row>
    <row r="117">
      <c r="A117">
        <v>116</v>
      </c>
      <c r="C117" t="str">
        <f>YEARFRAC(DATE(2020,1,1),DATE(2021,1,1))</f>
      </c>
    </row>
    <row r="118">
      <c r="A118">
        <v>117</v>
      </c>
      <c r="C118" t="str">
        <f>DATEDIF(DATE(2020,1,1),DATE(2021,1,1),"d")</f>
      </c>
    </row>
    <row r="119">
      <c r="A119">
        <v>118</v>
      </c>
      <c r="C119" t="str">
        <f>CONVERT(1,"m","ft")</f>
      </c>
    </row>
    <row r="120">
      <c r="A120">
        <v>119</v>
      </c>
      <c r="C120" t="str">
        <f>SUMSQ(A1:A3)</f>
      </c>
    </row>
    <row r="121">
      <c r="A121">
        <v>120</v>
      </c>
      <c r="C121" t="str">
        <f>SUMX2MY2(A1:A3,A1:A3)</f>
      </c>
    </row>
    <row r="122">
      <c r="A122">
        <v>121</v>
      </c>
      <c r="C122" t="str">
        <f>GCD(12,18)+LCM(4,6)</f>
      </c>
    </row>
    <row r="123">
      <c r="A123">
        <v>122</v>
      </c>
      <c r="C123" t="str">
        <f>FACT(5)+COMBIN(5,2)</f>
      </c>
    </row>
    <row r="124">
      <c r="A124">
        <v>123</v>
      </c>
      <c r="C124" t="str">
        <f>CEILING(2.1,1)+FLOOR(2.9,1)</f>
      </c>
    </row>
    <row r="125">
      <c r="A125">
        <v>124</v>
      </c>
      <c r="C125" t="str">
        <f>TRUNC(2.9)+SIGN(-1)</f>
      </c>
    </row>
    <row r="126">
      <c r="A126">
        <v>125</v>
      </c>
      <c r="C126" t="str">
        <f>NORMSDIST(0.5)</f>
      </c>
    </row>
    <row r="127">
      <c r="A127">
        <v>126</v>
      </c>
      <c r="C127" t="str">
        <f>NORMINV(0.5,0,1)</f>
      </c>
    </row>
    <row r="128">
      <c r="A128">
        <v>127</v>
      </c>
      <c r="C128" t="str">
        <f>TDIST(1,5,2)</f>
      </c>
    </row>
    <row r="129">
      <c r="A129">
        <v>128</v>
      </c>
      <c r="C129" t="str">
        <f>CHIDIST(1,2)</f>
      </c>
    </row>
    <row r="130">
      <c r="A130">
        <v>129</v>
      </c>
      <c r="C130" t="str">
        <f>FDIST(1,2,3)</f>
      </c>
    </row>
    <row r="131">
      <c r="A131">
        <v>130</v>
      </c>
      <c r="C131" t="str">
        <f>BINOMDIST(1,2,0.5,FALSE)</f>
      </c>
    </row>
    <row r="132">
      <c r="A132">
        <v>131</v>
      </c>
      <c r="C132" t="str">
        <f>POISSON(1,2,FALSE)</f>
      </c>
    </row>
    <row r="133">
      <c r="A133">
        <v>132</v>
      </c>
      <c r="C133" t="str">
        <f>CORREL(A1:A5,A1:A5)</f>
      </c>
    </row>
    <row r="134">
      <c r="A134">
        <v>133</v>
      </c>
      <c r="C134" t="str">
        <f>SLOPE(A1:A5,A1:A5)</f>
      </c>
    </row>
    <row r="135">
      <c r="A135">
        <v>134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data</vt:lpstr>
      <vt:lpstr>calc</vt:lpstr>
      <vt:lpstr>cmt</vt:lpstr>
      <vt:lpstr>const_arr</vt:lpstr>
      <vt:lpstr>const_num</vt:lpstr>
      <vt:lpstr>const_str</vt:lpstr>
      <vt:lpstr>fml_name</vt:lpstr>
      <vt:lpstr>hid</vt:lpstr>
      <vt:lpstr>hidden_rng</vt:lpstr>
      <vt:lpstr>multi</vt:lpstr>
      <vt:lpstr>ofs</vt:lpstr>
      <vt:lpstr>rng</vt:lpstr>
      <vt:lpstr>three_d</vt:lpstr>
      <vt:lpstr>local_rng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2026-10-17T19:01:25Z</dcterms:created>
  <dcterms:modified xsi:type="dcterms:W3CDTF">2026-10-17T19:01:25Z</dcterms:modified>
  <cp:lastModifiedBy>janmarvingarbuszus</cp:lastModifiedBy>
</cp:coreProperties>
</file>